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vgeniSedin\fb_agents\analysis_agent\"/>
    </mc:Choice>
  </mc:AlternateContent>
  <xr:revisionPtr revIDLastSave="0" documentId="13_ncr:1_{9E6E6BAC-3338-4F07-88A2-153D2ABC93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 CM Comparison" sheetId="1" r:id="rId1"/>
    <sheet name="2. Trend (7d)" sheetId="2" r:id="rId2"/>
    <sheet name="3. Working Combos" sheetId="3" r:id="rId3"/>
    <sheet name="4. Targeting 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3" i="1"/>
</calcChain>
</file>

<file path=xl/sharedStrings.xml><?xml version="1.0" encoding="utf-8"?>
<sst xmlns="http://schemas.openxmlformats.org/spreadsheetml/2006/main" count="139" uniqueCount="85">
  <si>
    <t>Ecuador — Campaign Manager Comparison</t>
  </si>
  <si>
    <t>Campaign Manager</t>
  </si>
  <si>
    <t>Spend ($)</t>
  </si>
  <si>
    <t>Leads</t>
  </si>
  <si>
    <t>Deposits</t>
  </si>
  <si>
    <t>CPL ($)</t>
  </si>
  <si>
    <t>CPA ($)</t>
  </si>
  <si>
    <t>CR (%)</t>
  </si>
  <si>
    <t>ROI</t>
  </si>
  <si>
    <t>Evgeni Sedin  ← YOU</t>
  </si>
  <si>
    <t>Gil Zangi</t>
  </si>
  <si>
    <t>Yotam Balteriski</t>
  </si>
  <si>
    <t>Dan Dicker</t>
  </si>
  <si>
    <t>Ecuador — Trend Apr 07–13 2026 (last 7 days)</t>
  </si>
  <si>
    <t>NEW — Deposits appeared this period</t>
  </si>
  <si>
    <t>Targeting</t>
  </si>
  <si>
    <t>Creative</t>
  </si>
  <si>
    <t>Offer</t>
  </si>
  <si>
    <t>Note</t>
  </si>
  <si>
    <t>TRD</t>
  </si>
  <si>
    <t>Blue_Story1</t>
  </si>
  <si>
    <t>AI Trader</t>
  </si>
  <si>
    <t>Blue_Story3</t>
  </si>
  <si>
    <t>Blue_Story5</t>
  </si>
  <si>
    <t>TRD emerging — 3 new combos</t>
  </si>
  <si>
    <t>Trading_vid</t>
  </si>
  <si>
    <t>—</t>
  </si>
  <si>
    <t>Favorita</t>
  </si>
  <si>
    <t>1953 3</t>
  </si>
  <si>
    <t>New creative 1953</t>
  </si>
  <si>
    <t>STOPPED — Had deposits before, 0 in last 7 days</t>
  </si>
  <si>
    <t>Total Dep</t>
  </si>
  <si>
    <t>Recent (7d)</t>
  </si>
  <si>
    <t>Trading</t>
  </si>
  <si>
    <t>1389 2</t>
  </si>
  <si>
    <t>1319 3</t>
  </si>
  <si>
    <t>1319 1</t>
  </si>
  <si>
    <t>509 3</t>
  </si>
  <si>
    <t>ℹ️  All stopped combos were on accounts that are now Disabled. These combos are not dead — they need to be relaunched on new accounts.</t>
  </si>
  <si>
    <t>Ecuador — All Strong Combos (cumulative)</t>
  </si>
  <si>
    <t>Assessment</t>
  </si>
  <si>
    <t>High volume, profitable</t>
  </si>
  <si>
    <t>⚠️ ROI &lt; 1 — unprofitable, volume only</t>
  </si>
  <si>
    <t>Best ROI, high quality traffic</t>
  </si>
  <si>
    <t>Borderline — watch closely</t>
  </si>
  <si>
    <t>⭐ Best CPA by far — 2.5× cheaper than others</t>
  </si>
  <si>
    <t>Color: Green = ROI ≥ 2.0 | Blue = ROI ≥ 1.0 | Yellow = ROI ≥ 0.5 | Red = ROI &lt; 0.5</t>
  </si>
  <si>
    <t>Ecuador — Why 'Trading' Targeting Outperforms Everything</t>
  </si>
  <si>
    <t>All Targeting — Performance Ranked by CPA</t>
  </si>
  <si>
    <t>Status</t>
  </si>
  <si>
    <t>Why</t>
  </si>
  <si>
    <t>✅ #1 Best CPA</t>
  </si>
  <si>
    <t>Broad 'want to start trading' intent. Widest quality audience.</t>
  </si>
  <si>
    <t>✅ #2 (low volume)</t>
  </si>
  <si>
    <t>Likely FX / crypto interest — high intent, needs more data.</t>
  </si>
  <si>
    <t>Day (Day Trading)</t>
  </si>
  <si>
    <t>✅ Works but costlier</t>
  </si>
  <si>
    <t>Day traders already have a broker — harder to convert.</t>
  </si>
  <si>
    <t>⚠️ High spend, moderate CPA</t>
  </si>
  <si>
    <t>Video viewers — engagement ≠ purchase intent. Wider, colder audience.</t>
  </si>
  <si>
    <t>🔵 Emerging (last 7d)</t>
  </si>
  <si>
    <t>New targeting, growing now. Blue Story combos just started converting.</t>
  </si>
  <si>
    <t>DT_Trading</t>
  </si>
  <si>
    <t>❌ 0 deposits</t>
  </si>
  <si>
    <t>Day trading subset — too specific, professional traders ignore offers.</t>
  </si>
  <si>
    <t>Day3</t>
  </si>
  <si>
    <t>Likely retargeting day-3 sequence — audience too cold at this stage.</t>
  </si>
  <si>
    <t>(unknown)</t>
  </si>
  <si>
    <t>No label — untracked campaign, cannot optimise.</t>
  </si>
  <si>
    <t>Key Insight: Audience Intent Pyramid</t>
  </si>
  <si>
    <t>Targeting Tier</t>
  </si>
  <si>
    <t>CPA</t>
  </si>
  <si>
    <t>Explanation</t>
  </si>
  <si>
    <t>Trading (generic)</t>
  </si>
  <si>
    <t>$1,150 CPA</t>
  </si>
  <si>
    <t>People who WANT to start investing. They are looking for an entry point. Favorita = perfect match. Widest pool of high-intent beginners.</t>
  </si>
  <si>
    <t>Day Trading (Day)</t>
  </si>
  <si>
    <t>$1,461 CPA</t>
  </si>
  <si>
    <t>People actively day-trading. Already have a broker. More skeptical. Still converts because some look for better platforms, but 27% more expensive.</t>
  </si>
  <si>
    <t>DT_Trading (strict)</t>
  </si>
  <si>
    <t>0 deposits</t>
  </si>
  <si>
    <t>Professional day traders. Know the market, don't click broker ads. Audience is too sophisticated for a general trading offer.</t>
  </si>
  <si>
    <t>$1,565 CPA</t>
  </si>
  <si>
    <t>Watched a trading video at some point. No strong purchase intent — engagement ≠ intention to invest. Good for retargeting, bad for cold traffic.</t>
  </si>
  <si>
    <t>FX/SM/IOS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</si>
</sst>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9"/>
      <color rgb="FF595959"/>
      <name val="Calibri"/>
      <family val="2"/>
    </font>
    <font>
      <b/>
      <sz val="10"/>
      <color rgb="FF1A3C1A"/>
      <name val="Calibri"/>
      <family val="2"/>
    </font>
    <font>
      <b/>
      <sz val="9"/>
      <color rgb="FFFFFFFF"/>
      <name val="Calibri"/>
      <family val="2"/>
    </font>
    <font>
      <i/>
      <sz val="9"/>
      <color rgb="FF000000"/>
      <name val="Calibri"/>
      <family val="2"/>
    </font>
    <font>
      <b/>
      <sz val="10"/>
      <color rgb="FF5C0000"/>
      <name val="Calibri"/>
      <family val="2"/>
    </font>
    <font>
      <b/>
      <sz val="10"/>
      <color rgb="FFCC0000"/>
      <name val="Calibri"/>
      <family val="2"/>
    </font>
    <font>
      <b/>
      <sz val="10"/>
      <color rgb="FF1F4E79"/>
      <name val="Calibri"/>
      <family val="2"/>
    </font>
    <font>
      <sz val="9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7"/>
      </patternFill>
    </fill>
    <fill>
      <patternFill patternType="solid">
        <fgColor rgb="FFF5F8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4" fontId="4" fillId="8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" fontId="4" fillId="9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wrapText="1"/>
    </xf>
    <xf numFmtId="3" fontId="4" fillId="8" borderId="1" xfId="0" applyNumberFormat="1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3" fontId="4" fillId="9" borderId="1" xfId="0" applyNumberFormat="1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6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2" topLeftCell="A3" activePane="bottomLeft" state="frozen"/>
      <selection pane="bottomLeft" activeCell="G27" sqref="G27"/>
    </sheetView>
  </sheetViews>
  <sheetFormatPr defaultRowHeight="14.5" x14ac:dyDescent="0.35"/>
  <cols>
    <col min="1" max="1" width="24" customWidth="1"/>
    <col min="2" max="2" width="14" customWidth="1"/>
    <col min="3" max="5" width="10" customWidth="1"/>
    <col min="6" max="6" width="12" customWidth="1"/>
    <col min="7" max="8" width="10" customWidth="1"/>
  </cols>
  <sheetData>
    <row r="1" spans="1:8" ht="24" customHeight="1" x14ac:dyDescent="0.35">
      <c r="A1" s="60" t="s">
        <v>0</v>
      </c>
      <c r="B1" s="61"/>
      <c r="C1" s="61"/>
      <c r="D1" s="61"/>
      <c r="E1" s="61"/>
      <c r="F1" s="61"/>
      <c r="G1" s="61"/>
    </row>
    <row r="2" spans="1:8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5">
      <c r="A3" s="2" t="s">
        <v>9</v>
      </c>
      <c r="B3" s="3">
        <v>34879.49</v>
      </c>
      <c r="C3" s="4">
        <v>1924</v>
      </c>
      <c r="D3" s="4">
        <v>19</v>
      </c>
      <c r="E3" s="3">
        <v>18.13</v>
      </c>
      <c r="F3" s="3">
        <v>1835.76</v>
      </c>
      <c r="G3" s="5">
        <f>IFERROR(D3/C3,"")</f>
        <v>9.8752598752598758E-3</v>
      </c>
      <c r="H3" s="6">
        <v>0.76</v>
      </c>
    </row>
    <row r="4" spans="1:8" x14ac:dyDescent="0.35">
      <c r="A4" s="7" t="s">
        <v>10</v>
      </c>
      <c r="B4" s="8">
        <v>173416.56</v>
      </c>
      <c r="C4" s="9">
        <v>8230</v>
      </c>
      <c r="D4" s="9">
        <v>129</v>
      </c>
      <c r="E4" s="8">
        <v>21.07</v>
      </c>
      <c r="F4" s="8">
        <v>1344.31</v>
      </c>
      <c r="G4" s="5">
        <f t="shared" ref="G4:G6" si="0">IFERROR(D4/C4,"")</f>
        <v>1.5674362089914944E-2</v>
      </c>
      <c r="H4" s="10">
        <v>1.03</v>
      </c>
    </row>
    <row r="5" spans="1:8" x14ac:dyDescent="0.35">
      <c r="A5" s="11" t="s">
        <v>11</v>
      </c>
      <c r="B5" s="12">
        <v>45783.58</v>
      </c>
      <c r="C5" s="13">
        <v>2395</v>
      </c>
      <c r="D5" s="13">
        <v>34</v>
      </c>
      <c r="E5" s="12">
        <v>19.12</v>
      </c>
      <c r="F5" s="12">
        <v>1346.58</v>
      </c>
      <c r="G5" s="5">
        <f t="shared" si="0"/>
        <v>1.4196242171189978E-2</v>
      </c>
      <c r="H5" s="14">
        <v>2.74</v>
      </c>
    </row>
    <row r="6" spans="1:8" x14ac:dyDescent="0.35">
      <c r="A6" s="7" t="s">
        <v>12</v>
      </c>
      <c r="B6" s="8">
        <v>36004.42</v>
      </c>
      <c r="C6" s="9">
        <v>1833</v>
      </c>
      <c r="D6" s="9">
        <v>22</v>
      </c>
      <c r="E6" s="8">
        <v>19.64</v>
      </c>
      <c r="F6" s="8">
        <v>1636.56</v>
      </c>
      <c r="G6" s="5">
        <f t="shared" si="0"/>
        <v>1.2002182214948172E-2</v>
      </c>
      <c r="H6" s="10">
        <v>0.13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sqref="A1:E1"/>
    </sheetView>
  </sheetViews>
  <sheetFormatPr defaultRowHeight="14.5" x14ac:dyDescent="0.35"/>
  <cols>
    <col min="1" max="1" width="16" customWidth="1"/>
    <col min="2" max="2" width="14" customWidth="1"/>
    <col min="3" max="4" width="12" customWidth="1"/>
    <col min="5" max="5" width="36" customWidth="1"/>
  </cols>
  <sheetData>
    <row r="1" spans="1:5" ht="24" customHeight="1" x14ac:dyDescent="0.35">
      <c r="A1" s="60" t="s">
        <v>13</v>
      </c>
      <c r="B1" s="61"/>
      <c r="C1" s="61"/>
      <c r="D1" s="61"/>
      <c r="E1" s="61"/>
    </row>
    <row r="2" spans="1:5" x14ac:dyDescent="0.35">
      <c r="A2" s="62" t="s">
        <v>14</v>
      </c>
      <c r="B2" s="61"/>
      <c r="C2" s="61"/>
      <c r="D2" s="61"/>
      <c r="E2" s="61"/>
    </row>
    <row r="3" spans="1:5" x14ac:dyDescent="0.35">
      <c r="A3" s="15" t="s">
        <v>15</v>
      </c>
      <c r="B3" s="15" t="s">
        <v>16</v>
      </c>
      <c r="C3" s="15" t="s">
        <v>17</v>
      </c>
      <c r="D3" s="15" t="s">
        <v>4</v>
      </c>
      <c r="E3" s="15" t="s">
        <v>18</v>
      </c>
    </row>
    <row r="4" spans="1:5" x14ac:dyDescent="0.35">
      <c r="A4" s="9" t="s">
        <v>19</v>
      </c>
      <c r="B4" s="9" t="s">
        <v>20</v>
      </c>
      <c r="C4" s="9" t="s">
        <v>21</v>
      </c>
      <c r="D4" s="9">
        <v>1</v>
      </c>
      <c r="E4" s="16"/>
    </row>
    <row r="5" spans="1:5" x14ac:dyDescent="0.35">
      <c r="A5" s="13" t="s">
        <v>19</v>
      </c>
      <c r="B5" s="13" t="s">
        <v>22</v>
      </c>
      <c r="C5" s="13" t="s">
        <v>21</v>
      </c>
      <c r="D5" s="13">
        <v>1</v>
      </c>
      <c r="E5" s="17"/>
    </row>
    <row r="6" spans="1:5" x14ac:dyDescent="0.35">
      <c r="A6" s="9" t="s">
        <v>19</v>
      </c>
      <c r="B6" s="9" t="s">
        <v>23</v>
      </c>
      <c r="C6" s="9" t="s">
        <v>21</v>
      </c>
      <c r="D6" s="9">
        <v>1</v>
      </c>
      <c r="E6" s="16" t="s">
        <v>24</v>
      </c>
    </row>
    <row r="7" spans="1:5" x14ac:dyDescent="0.35">
      <c r="A7" s="13" t="s">
        <v>25</v>
      </c>
      <c r="B7" s="13" t="s">
        <v>26</v>
      </c>
      <c r="C7" s="13" t="s">
        <v>27</v>
      </c>
      <c r="D7" s="13">
        <v>1</v>
      </c>
      <c r="E7" s="17"/>
    </row>
    <row r="8" spans="1:5" x14ac:dyDescent="0.35">
      <c r="A8" s="9" t="s">
        <v>25</v>
      </c>
      <c r="B8" s="9" t="s">
        <v>28</v>
      </c>
      <c r="C8" s="9" t="s">
        <v>27</v>
      </c>
      <c r="D8" s="9">
        <v>1</v>
      </c>
      <c r="E8" s="16" t="s">
        <v>29</v>
      </c>
    </row>
    <row r="10" spans="1:5" x14ac:dyDescent="0.35">
      <c r="A10" s="64" t="s">
        <v>30</v>
      </c>
      <c r="B10" s="61"/>
      <c r="C10" s="61"/>
      <c r="D10" s="61"/>
      <c r="E10" s="61"/>
    </row>
    <row r="11" spans="1:5" x14ac:dyDescent="0.35">
      <c r="A11" s="15" t="s">
        <v>15</v>
      </c>
      <c r="B11" s="15" t="s">
        <v>16</v>
      </c>
      <c r="C11" s="15" t="s">
        <v>17</v>
      </c>
      <c r="D11" s="15" t="s">
        <v>31</v>
      </c>
      <c r="E11" s="15" t="s">
        <v>32</v>
      </c>
    </row>
    <row r="12" spans="1:5" x14ac:dyDescent="0.35">
      <c r="A12" s="9" t="s">
        <v>33</v>
      </c>
      <c r="B12" s="9" t="s">
        <v>34</v>
      </c>
      <c r="C12" s="9" t="s">
        <v>27</v>
      </c>
      <c r="D12" s="18">
        <v>23</v>
      </c>
      <c r="E12" s="19">
        <v>0</v>
      </c>
    </row>
    <row r="13" spans="1:5" x14ac:dyDescent="0.35">
      <c r="A13" s="13" t="s">
        <v>25</v>
      </c>
      <c r="B13" s="13" t="s">
        <v>35</v>
      </c>
      <c r="C13" s="13" t="s">
        <v>27</v>
      </c>
      <c r="D13" s="20">
        <v>17</v>
      </c>
      <c r="E13" s="21">
        <v>0</v>
      </c>
    </row>
    <row r="14" spans="1:5" x14ac:dyDescent="0.35">
      <c r="A14" s="9" t="s">
        <v>33</v>
      </c>
      <c r="B14" s="9" t="s">
        <v>35</v>
      </c>
      <c r="C14" s="9" t="s">
        <v>27</v>
      </c>
      <c r="D14" s="18">
        <v>14</v>
      </c>
      <c r="E14" s="19">
        <v>0</v>
      </c>
    </row>
    <row r="15" spans="1:5" x14ac:dyDescent="0.35">
      <c r="A15" s="13" t="s">
        <v>33</v>
      </c>
      <c r="B15" s="13" t="s">
        <v>36</v>
      </c>
      <c r="C15" s="13" t="s">
        <v>27</v>
      </c>
      <c r="D15" s="20">
        <v>13</v>
      </c>
      <c r="E15" s="21">
        <v>0</v>
      </c>
    </row>
    <row r="16" spans="1:5" x14ac:dyDescent="0.35">
      <c r="A16" s="9" t="s">
        <v>33</v>
      </c>
      <c r="B16" s="9" t="s">
        <v>37</v>
      </c>
      <c r="C16" s="9" t="s">
        <v>27</v>
      </c>
      <c r="D16" s="18">
        <v>10</v>
      </c>
      <c r="E16" s="19">
        <v>0</v>
      </c>
    </row>
    <row r="18" spans="1:5" ht="32" customHeight="1" x14ac:dyDescent="0.35">
      <c r="A18" s="63" t="s">
        <v>38</v>
      </c>
      <c r="B18" s="61"/>
      <c r="C18" s="61"/>
      <c r="D18" s="61"/>
      <c r="E18" s="61"/>
    </row>
  </sheetData>
  <mergeCells count="4">
    <mergeCell ref="A2:E2"/>
    <mergeCell ref="A1:E1"/>
    <mergeCell ref="A18:E18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6" customWidth="1"/>
    <col min="2" max="3" width="12" customWidth="1"/>
    <col min="4" max="4" width="10" customWidth="1"/>
    <col min="5" max="5" width="12" customWidth="1"/>
    <col min="6" max="6" width="10" customWidth="1"/>
    <col min="7" max="7" width="38" customWidth="1"/>
  </cols>
  <sheetData>
    <row r="1" spans="1:7" ht="24" customHeight="1" x14ac:dyDescent="0.35">
      <c r="A1" s="60" t="s">
        <v>39</v>
      </c>
      <c r="B1" s="61"/>
      <c r="C1" s="61"/>
      <c r="D1" s="61"/>
      <c r="E1" s="61"/>
      <c r="F1" s="61"/>
      <c r="G1" s="61"/>
    </row>
    <row r="2" spans="1:7" ht="18" customHeight="1" x14ac:dyDescent="0.35">
      <c r="A2" s="1" t="s">
        <v>15</v>
      </c>
      <c r="B2" s="1" t="s">
        <v>16</v>
      </c>
      <c r="C2" s="1" t="s">
        <v>17</v>
      </c>
      <c r="D2" s="1" t="s">
        <v>4</v>
      </c>
      <c r="E2" s="1" t="s">
        <v>6</v>
      </c>
      <c r="F2" s="1" t="s">
        <v>8</v>
      </c>
      <c r="G2" s="1" t="s">
        <v>40</v>
      </c>
    </row>
    <row r="3" spans="1:7" x14ac:dyDescent="0.35">
      <c r="A3" s="22" t="s">
        <v>33</v>
      </c>
      <c r="B3" s="22" t="s">
        <v>34</v>
      </c>
      <c r="C3" s="23" t="s">
        <v>27</v>
      </c>
      <c r="D3" s="22">
        <v>23</v>
      </c>
      <c r="E3" s="24">
        <v>1148.29</v>
      </c>
      <c r="F3" s="25">
        <v>1.32</v>
      </c>
      <c r="G3" s="26" t="s">
        <v>41</v>
      </c>
    </row>
    <row r="4" spans="1:7" x14ac:dyDescent="0.35">
      <c r="A4" s="27" t="s">
        <v>25</v>
      </c>
      <c r="B4" s="27" t="s">
        <v>35</v>
      </c>
      <c r="C4" s="28" t="s">
        <v>27</v>
      </c>
      <c r="D4" s="27">
        <v>17</v>
      </c>
      <c r="E4" s="29">
        <v>1343.68</v>
      </c>
      <c r="F4" s="30">
        <v>0.42</v>
      </c>
      <c r="G4" s="31" t="s">
        <v>42</v>
      </c>
    </row>
    <row r="5" spans="1:7" x14ac:dyDescent="0.35">
      <c r="A5" s="32" t="s">
        <v>33</v>
      </c>
      <c r="B5" s="32" t="s">
        <v>35</v>
      </c>
      <c r="C5" s="33" t="s">
        <v>27</v>
      </c>
      <c r="D5" s="32">
        <v>14</v>
      </c>
      <c r="E5" s="34">
        <v>1159.54</v>
      </c>
      <c r="F5" s="35">
        <v>3.79</v>
      </c>
      <c r="G5" s="36" t="s">
        <v>43</v>
      </c>
    </row>
    <row r="6" spans="1:7" x14ac:dyDescent="0.35">
      <c r="A6" s="37" t="s">
        <v>33</v>
      </c>
      <c r="B6" s="37" t="s">
        <v>36</v>
      </c>
      <c r="C6" s="38" t="s">
        <v>27</v>
      </c>
      <c r="D6" s="37">
        <v>13</v>
      </c>
      <c r="E6" s="39">
        <v>1200.9000000000001</v>
      </c>
      <c r="F6" s="40">
        <v>0.81</v>
      </c>
      <c r="G6" s="41" t="s">
        <v>44</v>
      </c>
    </row>
    <row r="7" spans="1:7" x14ac:dyDescent="0.35">
      <c r="A7" s="32" t="s">
        <v>33</v>
      </c>
      <c r="B7" s="32" t="s">
        <v>37</v>
      </c>
      <c r="C7" s="33" t="s">
        <v>27</v>
      </c>
      <c r="D7" s="32">
        <v>10</v>
      </c>
      <c r="E7" s="34">
        <v>467.16</v>
      </c>
      <c r="F7" s="35">
        <v>2.48</v>
      </c>
      <c r="G7" s="36" t="s">
        <v>45</v>
      </c>
    </row>
    <row r="9" spans="1:7" x14ac:dyDescent="0.35">
      <c r="A9" s="65" t="s">
        <v>46</v>
      </c>
      <c r="B9" s="61"/>
      <c r="C9" s="61"/>
      <c r="D9" s="61"/>
      <c r="E9" s="61"/>
      <c r="F9" s="61"/>
      <c r="G9" s="61"/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C7" sqref="C7"/>
    </sheetView>
  </sheetViews>
  <sheetFormatPr defaultRowHeight="14.5" x14ac:dyDescent="0.35"/>
  <cols>
    <col min="1" max="1" width="22" customWidth="1"/>
    <col min="2" max="2" width="12" customWidth="1"/>
    <col min="3" max="3" width="14" customWidth="1"/>
    <col min="4" max="4" width="12" customWidth="1"/>
    <col min="5" max="5" width="18" customWidth="1"/>
    <col min="6" max="6" width="38" customWidth="1"/>
  </cols>
  <sheetData>
    <row r="1" spans="1:6" ht="28" customHeight="1" x14ac:dyDescent="0.35">
      <c r="A1" s="60" t="s">
        <v>47</v>
      </c>
      <c r="B1" s="61"/>
      <c r="C1" s="61"/>
      <c r="D1" s="61"/>
      <c r="E1" s="61"/>
      <c r="F1" s="61"/>
    </row>
    <row r="2" spans="1:6" x14ac:dyDescent="0.35">
      <c r="A2" s="66" t="s">
        <v>48</v>
      </c>
      <c r="B2" s="61"/>
      <c r="C2" s="61"/>
      <c r="D2" s="61"/>
      <c r="E2" s="61"/>
      <c r="F2" s="61"/>
    </row>
    <row r="3" spans="1:6" x14ac:dyDescent="0.35">
      <c r="A3" s="1" t="s">
        <v>15</v>
      </c>
      <c r="B3" s="1" t="s">
        <v>4</v>
      </c>
      <c r="C3" s="1" t="s">
        <v>2</v>
      </c>
      <c r="D3" s="1" t="s">
        <v>6</v>
      </c>
      <c r="E3" s="1" t="s">
        <v>49</v>
      </c>
      <c r="F3" s="1" t="s">
        <v>50</v>
      </c>
    </row>
    <row r="4" spans="1:6" ht="28" customHeight="1" x14ac:dyDescent="0.35">
      <c r="A4" s="32" t="s">
        <v>33</v>
      </c>
      <c r="B4" s="32">
        <v>62</v>
      </c>
      <c r="C4" s="42">
        <v>71311</v>
      </c>
      <c r="D4" s="43">
        <v>1150</v>
      </c>
      <c r="E4" s="44" t="s">
        <v>51</v>
      </c>
      <c r="F4" s="45" t="s">
        <v>52</v>
      </c>
    </row>
    <row r="5" spans="1:6" ht="28" customHeight="1" x14ac:dyDescent="0.35">
      <c r="A5" s="22" t="s">
        <v>84</v>
      </c>
      <c r="B5" s="22">
        <v>6</v>
      </c>
      <c r="C5" s="46">
        <v>7580</v>
      </c>
      <c r="D5" s="47">
        <v>1263</v>
      </c>
      <c r="E5" s="48" t="s">
        <v>53</v>
      </c>
      <c r="F5" s="49" t="s">
        <v>54</v>
      </c>
    </row>
    <row r="6" spans="1:6" ht="28" customHeight="1" x14ac:dyDescent="0.35">
      <c r="A6" s="22" t="s">
        <v>55</v>
      </c>
      <c r="B6" s="22">
        <v>30</v>
      </c>
      <c r="C6" s="46">
        <v>43819</v>
      </c>
      <c r="D6" s="47">
        <v>1461</v>
      </c>
      <c r="E6" s="48" t="s">
        <v>56</v>
      </c>
      <c r="F6" s="49" t="s">
        <v>57</v>
      </c>
    </row>
    <row r="7" spans="1:6" ht="28" customHeight="1" x14ac:dyDescent="0.35">
      <c r="A7" s="37" t="s">
        <v>25</v>
      </c>
      <c r="B7" s="37">
        <v>35</v>
      </c>
      <c r="C7" s="50">
        <v>54771</v>
      </c>
      <c r="D7" s="51">
        <v>1565</v>
      </c>
      <c r="E7" s="52" t="s">
        <v>58</v>
      </c>
      <c r="F7" s="53" t="s">
        <v>59</v>
      </c>
    </row>
    <row r="8" spans="1:6" ht="28" customHeight="1" x14ac:dyDescent="0.35">
      <c r="A8" s="37" t="s">
        <v>19</v>
      </c>
      <c r="B8" s="37">
        <v>5</v>
      </c>
      <c r="C8" s="50">
        <v>8647</v>
      </c>
      <c r="D8" s="51">
        <v>1729</v>
      </c>
      <c r="E8" s="52" t="s">
        <v>60</v>
      </c>
      <c r="F8" s="53" t="s">
        <v>61</v>
      </c>
    </row>
    <row r="9" spans="1:6" ht="28" customHeight="1" x14ac:dyDescent="0.35">
      <c r="A9" s="28" t="s">
        <v>62</v>
      </c>
      <c r="B9" s="27">
        <v>0</v>
      </c>
      <c r="C9" s="54">
        <v>1490</v>
      </c>
      <c r="D9" s="55" t="s">
        <v>26</v>
      </c>
      <c r="E9" s="56" t="s">
        <v>63</v>
      </c>
      <c r="F9" s="57" t="s">
        <v>64</v>
      </c>
    </row>
    <row r="10" spans="1:6" ht="28" customHeight="1" x14ac:dyDescent="0.35">
      <c r="A10" s="28" t="s">
        <v>65</v>
      </c>
      <c r="B10" s="27">
        <v>0</v>
      </c>
      <c r="C10" s="54">
        <v>1847</v>
      </c>
      <c r="D10" s="55" t="s">
        <v>26</v>
      </c>
      <c r="E10" s="56" t="s">
        <v>63</v>
      </c>
      <c r="F10" s="57" t="s">
        <v>66</v>
      </c>
    </row>
    <row r="11" spans="1:6" ht="28" customHeight="1" x14ac:dyDescent="0.35">
      <c r="A11" s="28" t="s">
        <v>67</v>
      </c>
      <c r="B11" s="27">
        <v>0</v>
      </c>
      <c r="C11" s="54">
        <v>2351</v>
      </c>
      <c r="D11" s="55" t="s">
        <v>26</v>
      </c>
      <c r="E11" s="56" t="s">
        <v>63</v>
      </c>
      <c r="F11" s="57" t="s">
        <v>68</v>
      </c>
    </row>
    <row r="13" spans="1:6" x14ac:dyDescent="0.35">
      <c r="A13" s="66" t="s">
        <v>69</v>
      </c>
      <c r="B13" s="61"/>
      <c r="C13" s="61"/>
      <c r="D13" s="61"/>
      <c r="E13" s="61"/>
      <c r="F13" s="61"/>
    </row>
    <row r="14" spans="1:6" x14ac:dyDescent="0.35">
      <c r="A14" s="15" t="s">
        <v>70</v>
      </c>
      <c r="B14" s="15" t="s">
        <v>71</v>
      </c>
      <c r="C14" s="69" t="s">
        <v>72</v>
      </c>
      <c r="D14" s="61"/>
      <c r="E14" s="61"/>
      <c r="F14" s="61"/>
    </row>
    <row r="15" spans="1:6" ht="36" customHeight="1" x14ac:dyDescent="0.35">
      <c r="A15" s="58" t="s">
        <v>73</v>
      </c>
      <c r="B15" s="20" t="s">
        <v>74</v>
      </c>
      <c r="C15" s="68" t="s">
        <v>75</v>
      </c>
      <c r="D15" s="61"/>
      <c r="E15" s="61"/>
      <c r="F15" s="61"/>
    </row>
    <row r="16" spans="1:6" ht="36" customHeight="1" x14ac:dyDescent="0.35">
      <c r="A16" s="59" t="s">
        <v>76</v>
      </c>
      <c r="B16" s="18" t="s">
        <v>77</v>
      </c>
      <c r="C16" s="67" t="s">
        <v>78</v>
      </c>
      <c r="D16" s="61"/>
      <c r="E16" s="61"/>
      <c r="F16" s="61"/>
    </row>
    <row r="17" spans="1:6" ht="36" customHeight="1" x14ac:dyDescent="0.35">
      <c r="A17" s="58" t="s">
        <v>79</v>
      </c>
      <c r="B17" s="20" t="s">
        <v>80</v>
      </c>
      <c r="C17" s="68" t="s">
        <v>81</v>
      </c>
      <c r="D17" s="61"/>
      <c r="E17" s="61"/>
      <c r="F17" s="61"/>
    </row>
    <row r="18" spans="1:6" ht="36" customHeight="1" x14ac:dyDescent="0.35">
      <c r="A18" s="59" t="s">
        <v>25</v>
      </c>
      <c r="B18" s="18" t="s">
        <v>82</v>
      </c>
      <c r="C18" s="67" t="s">
        <v>83</v>
      </c>
      <c r="D18" s="61"/>
      <c r="E18" s="61"/>
      <c r="F18" s="61"/>
    </row>
  </sheetData>
  <mergeCells count="8">
    <mergeCell ref="A2:F2"/>
    <mergeCell ref="C18:F18"/>
    <mergeCell ref="C17:F17"/>
    <mergeCell ref="A13:F13"/>
    <mergeCell ref="A1:F1"/>
    <mergeCell ref="C16:F16"/>
    <mergeCell ref="C15:F15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CM Comparison</vt:lpstr>
      <vt:lpstr>2. Trend (7d)</vt:lpstr>
      <vt:lpstr>3. Working Combos</vt:lpstr>
      <vt:lpstr>4. Targeting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Evgeni Sedin</cp:lastModifiedBy>
  <dcterms:created xsi:type="dcterms:W3CDTF">2026-04-14T07:38:03Z</dcterms:created>
  <dcterms:modified xsi:type="dcterms:W3CDTF">2026-04-14T07:42:09Z</dcterms:modified>
</cp:coreProperties>
</file>